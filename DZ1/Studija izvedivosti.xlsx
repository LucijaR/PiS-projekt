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ca5afe4547e7a4/Dokumenti/"/>
    </mc:Choice>
  </mc:AlternateContent>
  <xr:revisionPtr revIDLastSave="0" documentId="8_{57AACCDC-7392-4751-A2BE-8343FE926AED}" xr6:coauthVersionLast="47" xr6:coauthVersionMax="47" xr10:uidLastSave="{00000000-0000-0000-0000-000000000000}"/>
  <bookViews>
    <workbookView xWindow="-108" yWindow="-108" windowWidth="23256" windowHeight="12456" xr2:uid="{D6AFC392-95A7-440B-82D2-B635205B0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1" l="1"/>
  <c r="F9" i="1"/>
  <c r="D9" i="1"/>
  <c r="H2" i="1"/>
  <c r="H3" i="1"/>
  <c r="H4" i="1"/>
  <c r="H5" i="1"/>
  <c r="H6" i="1"/>
  <c r="H7" i="1"/>
  <c r="H8" i="1"/>
  <c r="F2" i="1"/>
  <c r="F3" i="1"/>
  <c r="F4" i="1"/>
  <c r="F5" i="1"/>
  <c r="F6" i="1"/>
  <c r="F7" i="1"/>
  <c r="F8" i="1"/>
  <c r="D2" i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<sst xmlns="http://schemas.openxmlformats.org/spreadsheetml/2006/main" count="16" uniqueCount="16">
  <si>
    <t>Karakteristike izvedivosti</t>
  </si>
  <si>
    <t>Težina (1-3)</t>
  </si>
  <si>
    <t>Alt 1 (vlastito rješenje)</t>
  </si>
  <si>
    <t>Alt 2 (gotovo rješenje)</t>
  </si>
  <si>
    <t>Alt 3 (open source)</t>
  </si>
  <si>
    <t>Prilagodba specifičnim zbirkama muzeja</t>
  </si>
  <si>
    <t>Brzina uvođenja sustava u rad</t>
  </si>
  <si>
    <t>Troškovi licenciranja i održavanja</t>
  </si>
  <si>
    <t>Jednostavnost korištenja</t>
  </si>
  <si>
    <t>Sigurnost i zaštita podataka o građi</t>
  </si>
  <si>
    <t>Mogućnost budućih nadogradnji</t>
  </si>
  <si>
    <t>Neovisnost o vanjskom dobavljaču</t>
  </si>
  <si>
    <t>UKUPNO</t>
  </si>
  <si>
    <t>Alt 1 ponderirano</t>
  </si>
  <si>
    <t>Alt 3 ponderirano</t>
  </si>
  <si>
    <t>Alt 2 ponderirano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</si>
</sst>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2" borderId="0" xfId="1" applyFont="1"/>
    <xf numFmtId="0" fontId="3" fillId="0" borderId="0" xfId="0" applyFont="1" applyAlignment="1">
      <alignment horizontal="center"/>
    </xf>
    <xf numFmtId="0" fontId="4" fillId="3" borderId="0" xfId="2" applyFont="1"/>
  </cellXfs>
  <cellStyles count="3">
    <cellStyle name="60% - Accent3" xfId="1" builtinId="40"/>
    <cellStyle name="Accent6" xfId="2" builtinId="49"/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0"/>
        <name val="Calibri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3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9740C-534F-449B-835A-DEC525CA64C6}" name="Table1" displayName="Table1" ref="A1:H9" totalsRowShown="0" headerRowDxfId="0" dataDxfId="1" headerRowCellStyle="Accent6">
  <autoFilter ref="A1:H9" xr:uid="{3A29740C-534F-449B-835A-DEC525CA64C6}"/>
  <tableColumns count="8">
    <tableColumn id="1" xr3:uid="{705BD12D-9BBD-4891-A69E-F066E2D6B3A8}" name="Karakteristike izvedivosti" dataDxfId="9" dataCellStyle="60% - Accent3"/>
    <tableColumn id="2" xr3:uid="{05CAAF4C-2B9D-4CCB-B785-C5201929843E}" name="Težina (1-3)" dataDxfId="8"/>
    <tableColumn id="3" xr3:uid="{D5B6B45D-395F-4524-B2E9-303E7A3EF22B}" name="Alt 1 (vlastito rješenje)" dataDxfId="7"/>
    <tableColumn id="6" xr3:uid="{A6503AF3-4C37-47AD-8E50-71AF01C93A7D}" name="Alt 1 ponderirano" dataDxfId="6">
      <calculatedColumnFormula>Table1[[#This Row],[Težina (1-3)]]*Table1[[#This Row],[Alt 1 (vlastito rješenje)]]</calculatedColumnFormula>
    </tableColumn>
    <tableColumn id="4" xr3:uid="{361711E3-C905-4CF9-A35F-64413F1E7693}" name="Alt 2 (gotovo rješenje)" dataDxfId="5"/>
    <tableColumn id="7" xr3:uid="{B610AA21-E85E-4C18-96FF-BE6C078F07C9}" name="Alt 2 ponderirano" dataDxfId="4">
      <calculatedColumnFormula>Table1[[#This Row],[Težina (1-3)]]*Table1[[#This Row],[Alt 2 (gotovo rješenje)]]</calculatedColumnFormula>
    </tableColumn>
    <tableColumn id="5" xr3:uid="{8BCA141D-AC99-427B-810F-EF985C57168F}" name="Alt 3 (open source)" dataDxfId="3"/>
    <tableColumn id="8" xr3:uid="{D7CCF552-2DF0-436F-A950-65A746040252}" name="Alt 3 ponderirano" dataDxfId="2">
      <calculatedColumnFormula>Table1[[#This Row],[Težina (1-3)]]*Table1[[#This Row],[Alt 3 (open source)]]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BD61-E4DB-4685-9085-949E57E93086}">
  <dimension ref="A1:H9"/>
  <sheetViews>
    <sheetView tabSelected="1" workbookViewId="0">
      <selection activeCell="E19" sqref="E19"/>
    </sheetView>
  </sheetViews>
  <sheetFormatPr defaultRowHeight="14.4" x14ac:dyDescent="0.3"/>
  <cols>
    <col min="1" max="1" width="38.109375" customWidth="1"/>
    <col min="2" max="2" width="13.6640625" customWidth="1"/>
    <col min="3" max="3" width="23.6640625" customWidth="1"/>
    <col min="4" max="4" width="20.109375" customWidth="1"/>
    <col min="5" max="5" width="23.21875" customWidth="1"/>
    <col min="6" max="6" width="19.6640625" customWidth="1"/>
    <col min="7" max="7" width="20.44140625" customWidth="1"/>
    <col min="8" max="8" width="20" customWidth="1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13</v>
      </c>
      <c r="E1" s="3" t="s">
        <v>3</v>
      </c>
      <c r="F1" s="3" t="s">
        <v>15</v>
      </c>
      <c r="G1" s="3" t="s">
        <v>4</v>
      </c>
      <c r="H1" s="3" t="s">
        <v>14</v>
      </c>
    </row>
    <row r="2" spans="1:8" ht="15.6" x14ac:dyDescent="0.3">
      <c r="A2" s="1" t="s">
        <v>5</v>
      </c>
      <c r="B2" s="2">
        <v>3</v>
      </c>
      <c r="C2" s="2">
        <v>5</v>
      </c>
      <c r="D2" s="2">
        <f>Table1[[#This Row],[Težina (1-3)]]*Table1[[#This Row],[Alt 1 (vlastito rješenje)]]</f>
        <v>15</v>
      </c>
      <c r="E2" s="2">
        <v>2</v>
      </c>
      <c r="F2" s="2">
        <f>Table1[[#This Row],[Težina (1-3)]]*Table1[[#This Row],[Alt 2 (gotovo rješenje)]]</f>
        <v>6</v>
      </c>
      <c r="G2" s="2">
        <v>4</v>
      </c>
      <c r="H2" s="2">
        <f>Table1[[#This Row],[Težina (1-3)]]*Table1[[#This Row],[Alt 3 (open source)]]</f>
        <v>12</v>
      </c>
    </row>
    <row r="3" spans="1:8" ht="15.6" x14ac:dyDescent="0.3">
      <c r="A3" s="1" t="s">
        <v>6</v>
      </c>
      <c r="B3" s="2">
        <v>2</v>
      </c>
      <c r="C3" s="2">
        <v>1</v>
      </c>
      <c r="D3" s="2">
        <f>Table1[[#This Row],[Težina (1-3)]]*Table1[[#This Row],[Alt 1 (vlastito rješenje)]]</f>
        <v>2</v>
      </c>
      <c r="E3" s="2">
        <v>5</v>
      </c>
      <c r="F3" s="2">
        <f>Table1[[#This Row],[Težina (1-3)]]*Table1[[#This Row],[Alt 2 (gotovo rješenje)]]</f>
        <v>10</v>
      </c>
      <c r="G3" s="2">
        <v>3</v>
      </c>
      <c r="H3" s="2">
        <f>Table1[[#This Row],[Težina (1-3)]]*Table1[[#This Row],[Alt 3 (open source)]]</f>
        <v>6</v>
      </c>
    </row>
    <row r="4" spans="1:8" ht="15.6" x14ac:dyDescent="0.3">
      <c r="A4" s="1" t="s">
        <v>7</v>
      </c>
      <c r="B4" s="2">
        <v>3</v>
      </c>
      <c r="C4" s="2">
        <v>4</v>
      </c>
      <c r="D4" s="2">
        <f>Table1[[#This Row],[Težina (1-3)]]*Table1[[#This Row],[Alt 1 (vlastito rješenje)]]</f>
        <v>12</v>
      </c>
      <c r="E4" s="2">
        <v>1</v>
      </c>
      <c r="F4" s="2">
        <f>Table1[[#This Row],[Težina (1-3)]]*Table1[[#This Row],[Alt 2 (gotovo rješenje)]]</f>
        <v>3</v>
      </c>
      <c r="G4" s="2">
        <v>3</v>
      </c>
      <c r="H4" s="2">
        <f>Table1[[#This Row],[Težina (1-3)]]*Table1[[#This Row],[Alt 3 (open source)]]</f>
        <v>9</v>
      </c>
    </row>
    <row r="5" spans="1:8" ht="15.6" x14ac:dyDescent="0.3">
      <c r="A5" s="1" t="s">
        <v>8</v>
      </c>
      <c r="B5" s="2">
        <v>2</v>
      </c>
      <c r="C5" s="2">
        <v>4</v>
      </c>
      <c r="D5" s="2">
        <f>Table1[[#This Row],[Težina (1-3)]]*Table1[[#This Row],[Alt 1 (vlastito rješenje)]]</f>
        <v>8</v>
      </c>
      <c r="E5" s="2">
        <v>5</v>
      </c>
      <c r="F5" s="2">
        <f>Table1[[#This Row],[Težina (1-3)]]*Table1[[#This Row],[Alt 2 (gotovo rješenje)]]</f>
        <v>10</v>
      </c>
      <c r="G5" s="2">
        <v>3</v>
      </c>
      <c r="H5" s="2">
        <f>Table1[[#This Row],[Težina (1-3)]]*Table1[[#This Row],[Alt 3 (open source)]]</f>
        <v>6</v>
      </c>
    </row>
    <row r="6" spans="1:8" ht="15.6" x14ac:dyDescent="0.3">
      <c r="A6" s="1" t="s">
        <v>9</v>
      </c>
      <c r="B6" s="2">
        <v>3</v>
      </c>
      <c r="C6" s="2">
        <v>5</v>
      </c>
      <c r="D6" s="2">
        <f>Table1[[#This Row],[Težina (1-3)]]*Table1[[#This Row],[Alt 1 (vlastito rješenje)]]</f>
        <v>15</v>
      </c>
      <c r="E6" s="2">
        <v>4</v>
      </c>
      <c r="F6" s="2">
        <f>Table1[[#This Row],[Težina (1-3)]]*Table1[[#This Row],[Alt 2 (gotovo rješenje)]]</f>
        <v>12</v>
      </c>
      <c r="G6" s="2">
        <v>2</v>
      </c>
      <c r="H6" s="2">
        <f>Table1[[#This Row],[Težina (1-3)]]*Table1[[#This Row],[Alt 3 (open source)]]</f>
        <v>6</v>
      </c>
    </row>
    <row r="7" spans="1:8" ht="15.6" x14ac:dyDescent="0.3">
      <c r="A7" s="1" t="s">
        <v>10</v>
      </c>
      <c r="B7" s="2">
        <v>2</v>
      </c>
      <c r="C7" s="2">
        <v>5</v>
      </c>
      <c r="D7" s="2">
        <f>Table1[[#This Row],[Težina (1-3)]]*Table1[[#This Row],[Alt 1 (vlastito rješenje)]]</f>
        <v>10</v>
      </c>
      <c r="E7" s="2">
        <v>2</v>
      </c>
      <c r="F7" s="2">
        <f>Table1[[#This Row],[Težina (1-3)]]*Table1[[#This Row],[Alt 2 (gotovo rješenje)]]</f>
        <v>4</v>
      </c>
      <c r="G7" s="2">
        <v>4</v>
      </c>
      <c r="H7" s="2">
        <f>Table1[[#This Row],[Težina (1-3)]]*Table1[[#This Row],[Alt 3 (open source)]]</f>
        <v>8</v>
      </c>
    </row>
    <row r="8" spans="1:8" ht="15.6" x14ac:dyDescent="0.3">
      <c r="A8" s="1" t="s">
        <v>11</v>
      </c>
      <c r="B8" s="2">
        <v>1</v>
      </c>
      <c r="C8" s="2">
        <v>5</v>
      </c>
      <c r="D8" s="2">
        <f>Table1[[#This Row],[Težina (1-3)]]*Table1[[#This Row],[Alt 1 (vlastito rješenje)]]</f>
        <v>5</v>
      </c>
      <c r="E8" s="2">
        <v>1</v>
      </c>
      <c r="F8" s="2">
        <f>Table1[[#This Row],[Težina (1-3)]]*Table1[[#This Row],[Alt 2 (gotovo rješenje)]]</f>
        <v>1</v>
      </c>
      <c r="G8" s="2">
        <v>3</v>
      </c>
      <c r="H8" s="2">
        <f>Table1[[#This Row],[Težina (1-3)]]*Table1[[#This Row],[Alt 3 (open source)]]</f>
        <v>3</v>
      </c>
    </row>
    <row r="9" spans="1:8" ht="15.6" x14ac:dyDescent="0.3">
      <c r="A9" s="3" t="s">
        <v>12</v>
      </c>
      <c r="B9" s="2"/>
      <c r="C9" s="2"/>
      <c r="D9" s="2">
        <f>SUM(D2:D8)</f>
        <v>67</v>
      </c>
      <c r="E9" s="2"/>
      <c r="F9" s="2">
        <f>SUM(F2:F8)</f>
        <v>46</v>
      </c>
      <c r="G9" s="2"/>
      <c r="H9" s="2">
        <f>SUM(H2:H8)</f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Lucija Rašić</dc:creator>
  <cp:lastModifiedBy>Lucija Rašić</cp:lastModifiedBy>
  <dcterms:created xsi:type="dcterms:W3CDTF">2026-04-21T10:52:44Z</dcterms:created>
  <dcterms:modified xsi:type="dcterms:W3CDTF">2026-04-21T11:26:24Z</dcterms:modified>
</cp:coreProperties>
</file>